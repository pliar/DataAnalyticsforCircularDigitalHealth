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etke\Downloads\"/>
    </mc:Choice>
  </mc:AlternateContent>
  <xr:revisionPtr revIDLastSave="0" documentId="13_ncr:1_{F81CB230-AF26-4E04-A386-398577F3DF41}" xr6:coauthVersionLast="47" xr6:coauthVersionMax="47" xr10:uidLastSave="{00000000-0000-0000-0000-000000000000}"/>
  <bookViews>
    <workbookView xWindow="-28920" yWindow="-60" windowWidth="29040" windowHeight="16440" xr2:uid="{00000000-000D-0000-FFFF-FFFF00000000}"/>
  </bookViews>
  <sheets>
    <sheet name="A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F11" i="1"/>
  <c r="F15" i="1" s="1"/>
  <c r="E10" i="1"/>
  <c r="E11" i="1" s="1"/>
  <c r="D10" i="1"/>
  <c r="C10" i="1"/>
  <c r="D9" i="1"/>
  <c r="D11" i="1" s="1"/>
  <c r="C9" i="1"/>
  <c r="B9" i="1"/>
  <c r="C8" i="1"/>
  <c r="B8" i="1"/>
  <c r="B7" i="1"/>
  <c r="C11" i="1" l="1"/>
  <c r="C19" i="1" s="1"/>
  <c r="B11" i="1"/>
  <c r="B16" i="1" s="1"/>
  <c r="B19" i="1"/>
  <c r="B15" i="1"/>
  <c r="B18" i="1"/>
  <c r="D16" i="1"/>
  <c r="D19" i="1"/>
  <c r="D15" i="1"/>
  <c r="D18" i="1"/>
  <c r="D17" i="1"/>
  <c r="E19" i="1"/>
  <c r="E15" i="1"/>
  <c r="E18" i="1"/>
  <c r="E17" i="1"/>
  <c r="E16" i="1"/>
  <c r="C17" i="1"/>
  <c r="C16" i="1"/>
  <c r="C15" i="1"/>
  <c r="C18" i="1"/>
  <c r="F17" i="1"/>
  <c r="F18" i="1"/>
  <c r="F19" i="1"/>
  <c r="F16" i="1"/>
  <c r="B17" i="1" l="1"/>
  <c r="H10" i="1"/>
  <c r="H7" i="1"/>
  <c r="H9" i="1"/>
  <c r="H6" i="1"/>
  <c r="H8" i="1"/>
  <c r="I6" i="1" l="1"/>
  <c r="J6" i="1" s="1"/>
  <c r="I8" i="1"/>
  <c r="J8" i="1" s="1"/>
  <c r="I10" i="1"/>
  <c r="J10" i="1" s="1"/>
  <c r="I9" i="1"/>
  <c r="J9" i="1" s="1"/>
  <c r="I7" i="1"/>
  <c r="J7" i="1" s="1"/>
  <c r="B22" i="1" l="1"/>
  <c r="B23" i="1" s="1"/>
  <c r="B25" i="1" s="1"/>
</calcChain>
</file>

<file path=xl/sharedStrings.xml><?xml version="1.0" encoding="utf-8"?>
<sst xmlns="http://schemas.openxmlformats.org/spreadsheetml/2006/main" count="34" uniqueCount="19">
  <si>
    <t>AHP-Gewichtungsrechner (Paarvergleichsmatrix → Gewichte + Konsistenzcheck)</t>
  </si>
  <si>
    <t>Eingabe: Trage nur die Werte OBERHALB der Diagonale ein (gelb). Unterhalb wird automatisch als Kehrwert berechnet.</t>
  </si>
  <si>
    <t>1) Paarvergleichsmatrix A (Saaty-AHP)</t>
  </si>
  <si>
    <t>C1</t>
  </si>
  <si>
    <t>C2</t>
  </si>
  <si>
    <t>C3</t>
  </si>
  <si>
    <t>C4</t>
  </si>
  <si>
    <t>C5</t>
  </si>
  <si>
    <t>Gewicht w</t>
  </si>
  <si>
    <t>A·w</t>
  </si>
  <si>
    <t>λ_i</t>
  </si>
  <si>
    <t>Spaltensumme</t>
  </si>
  <si>
    <t>2) Normierte Matrix N (jede Spalte durch Spaltensumme teilen)</t>
  </si>
  <si>
    <t>3) Konsistenzcheck (AHP)</t>
  </si>
  <si>
    <t>λ_max</t>
  </si>
  <si>
    <t>CI</t>
  </si>
  <si>
    <t>RI (n=5)</t>
  </si>
  <si>
    <t>CR</t>
  </si>
  <si>
    <t>Interpretation: CR &lt; 0,10 = akzeptabel; CR ≥ 0,10 = Paarvergleiche prüfen.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</si>
</sst>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555555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rgb="FF666666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4" fillId="3" borderId="1" xfId="1" applyFont="1" applyFill="1" applyBorder="1" applyAlignment="1">
      <alignment horizontal="center"/>
    </xf>
    <xf numFmtId="164" fontId="5" fillId="4" borderId="1" xfId="1" applyNumberFormat="1" applyFont="1" applyFill="1" applyBorder="1" applyAlignment="1">
      <alignment horizontal="center"/>
    </xf>
    <xf numFmtId="164" fontId="0" fillId="5" borderId="1" xfId="1" applyNumberFormat="1" applyFont="1" applyFill="1" applyBorder="1" applyAlignment="1">
      <alignment horizontal="center"/>
    </xf>
    <xf numFmtId="164" fontId="6" fillId="7" borderId="1" xfId="1" applyNumberFormat="1" applyFont="1" applyFill="1" applyBorder="1" applyAlignment="1">
      <alignment horizontal="center"/>
    </xf>
    <xf numFmtId="164" fontId="0" fillId="6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right"/>
    </xf>
    <xf numFmtId="0" fontId="6" fillId="6" borderId="1" xfId="1" applyFont="1" applyFill="1" applyBorder="1" applyAlignment="1">
      <alignment horizontal="right"/>
    </xf>
    <xf numFmtId="164" fontId="0" fillId="7" borderId="1" xfId="1" applyNumberFormat="1" applyFont="1" applyFill="1" applyBorder="1" applyAlignment="1">
      <alignment horizontal="center"/>
    </xf>
    <xf numFmtId="164" fontId="5" fillId="8" borderId="1" xfId="1" applyNumberFormat="1" applyFont="1" applyFill="1" applyBorder="1" applyAlignment="1">
      <alignment horizontal="center"/>
    </xf>
    <xf numFmtId="0" fontId="1" fillId="0" borderId="0" xfId="1" applyFont="1"/>
    <xf numFmtId="0" fontId="0" fillId="0" borderId="0" xfId="0"/>
    <xf numFmtId="0" fontId="2" fillId="0" borderId="0" xfId="1" applyFont="1"/>
    <xf numFmtId="0" fontId="3" fillId="2" borderId="0" xfId="1" applyFont="1" applyFill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showGridLines="0" tabSelected="1" workbookViewId="0">
      <selection activeCell="F9" sqref="F9"/>
    </sheetView>
  </sheetViews>
  <sheetFormatPr baseColWidth="10" defaultColWidth="9.140625" defaultRowHeight="15" x14ac:dyDescent="0.25"/>
  <cols>
    <col min="1" max="1" width="16" customWidth="1"/>
    <col min="2" max="6" width="11" customWidth="1"/>
    <col min="7" max="7" width="2" customWidth="1"/>
    <col min="8" max="10" width="12" customWidth="1"/>
  </cols>
  <sheetData>
    <row r="1" spans="1:10" ht="24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5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20.100000000000001" customHeight="1" x14ac:dyDescent="0.25">
      <c r="A4" s="13" t="s">
        <v>2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2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H5" s="1" t="s">
        <v>8</v>
      </c>
      <c r="I5" s="1" t="s">
        <v>9</v>
      </c>
      <c r="J5" s="1" t="s">
        <v>10</v>
      </c>
    </row>
    <row r="6" spans="1:10" x14ac:dyDescent="0.25">
      <c r="A6" s="1" t="s">
        <v>3</v>
      </c>
      <c r="B6" s="2">
        <v>1</v>
      </c>
      <c r="C6" s="3">
        <v>3</v>
      </c>
      <c r="D6" s="3">
        <v>4</v>
      </c>
      <c r="E6" s="3">
        <v>3</v>
      </c>
      <c r="F6" s="3">
        <v>1</v>
      </c>
      <c r="H6" s="4">
        <f>AVERAGE(B15:F15)</f>
        <v>0.33985437363092597</v>
      </c>
      <c r="I6" s="4">
        <f>B6*$H$6+C6*$H$7+D6*$H$8+E6*$H$9+F6*$H$10</f>
        <v>1.7137535711322323</v>
      </c>
      <c r="J6" s="4">
        <f>IF($H6=0,"",I6/$H6)</f>
        <v>5.0426114951026912</v>
      </c>
    </row>
    <row r="7" spans="1:10" x14ac:dyDescent="0.25">
      <c r="A7" s="1" t="s">
        <v>4</v>
      </c>
      <c r="B7" s="5">
        <f>IF(C6="","",1/C6)</f>
        <v>0.33333333333333331</v>
      </c>
      <c r="C7" s="2">
        <v>1</v>
      </c>
      <c r="D7" s="3">
        <v>2</v>
      </c>
      <c r="E7" s="3">
        <v>1</v>
      </c>
      <c r="F7" s="3">
        <v>0.33329999999999999</v>
      </c>
      <c r="H7" s="4">
        <f>AVERAGE(B16:F16)</f>
        <v>0.12353891570018709</v>
      </c>
      <c r="I7" s="4">
        <f>B7*$H$6+C7*$H$7+D7*$H$8+E7*$H$9+F7*$H$10</f>
        <v>0.62003939661244512</v>
      </c>
      <c r="J7" s="4">
        <f>IF($H7=0,"",I7/$H7)</f>
        <v>5.0189804006148169</v>
      </c>
    </row>
    <row r="8" spans="1:10" x14ac:dyDescent="0.25">
      <c r="A8" s="1" t="s">
        <v>5</v>
      </c>
      <c r="B8" s="5">
        <f>IF(D6="","",1/D6)</f>
        <v>0.25</v>
      </c>
      <c r="C8" s="5">
        <f>IF(D7="","",1/D7)</f>
        <v>0.5</v>
      </c>
      <c r="D8" s="2">
        <v>1</v>
      </c>
      <c r="E8" s="3">
        <v>0.5</v>
      </c>
      <c r="F8" s="3">
        <v>0.25</v>
      </c>
      <c r="H8" s="4">
        <f>AVERAGE(B17:F17)</f>
        <v>7.3199302777161274E-2</v>
      </c>
      <c r="I8" s="4">
        <f>B8*$H$6+C8*$H$7+D8*$H$8+E8*$H$9+F8*$H$10</f>
        <v>0.36666893493296454</v>
      </c>
      <c r="J8" s="4">
        <f>IF($H8=0,"",I8/$H8)</f>
        <v>5.0091861673765559</v>
      </c>
    </row>
    <row r="9" spans="1:10" x14ac:dyDescent="0.25">
      <c r="A9" s="1" t="s">
        <v>6</v>
      </c>
      <c r="B9" s="5">
        <f>IF(E6="","",1/E6)</f>
        <v>0.33333333333333331</v>
      </c>
      <c r="C9" s="5">
        <f>IF(E7="","",1/E7)</f>
        <v>1</v>
      </c>
      <c r="D9" s="5">
        <f>IF(E8="","",1/E8)</f>
        <v>2</v>
      </c>
      <c r="E9" s="2">
        <v>1</v>
      </c>
      <c r="F9" s="3">
        <v>0.33329999999999999</v>
      </c>
      <c r="H9" s="4">
        <f>AVERAGE(B18:F18)</f>
        <v>0.12353891570018709</v>
      </c>
      <c r="I9" s="4">
        <f>B9*$H$6+C9*$H$7+D9*$H$8+E9*$H$9+F9*$H$10</f>
        <v>0.62003939661244512</v>
      </c>
      <c r="J9" s="4">
        <f>IF($H9=0,"",I9/$H9)</f>
        <v>5.0189804006148169</v>
      </c>
    </row>
    <row r="10" spans="1:10" x14ac:dyDescent="0.25">
      <c r="A10" s="1" t="s">
        <v>7</v>
      </c>
      <c r="B10" s="5">
        <f>IF(F6="","",1/F6)</f>
        <v>1</v>
      </c>
      <c r="C10" s="5">
        <f>IF(F7="","",1/F7)</f>
        <v>3.0003000300030003</v>
      </c>
      <c r="D10" s="5">
        <f>IF(F8="","",1/F8)</f>
        <v>4</v>
      </c>
      <c r="E10" s="5">
        <f>IF(F9="","",1/F9)</f>
        <v>3.0003000300030003</v>
      </c>
      <c r="F10" s="2">
        <v>1</v>
      </c>
      <c r="H10" s="4">
        <f>AVERAGE(B19:F19)</f>
        <v>0.33986849219153864</v>
      </c>
      <c r="I10" s="4">
        <f>B10*$H$6+C10*$H$7+D10*$H$8+E10*$H$9+F10*$H$10</f>
        <v>1.7138277018947286</v>
      </c>
      <c r="J10" s="4">
        <f>IF($H10=0,"",I10/$H10)</f>
        <v>5.0426201347575104</v>
      </c>
    </row>
    <row r="11" spans="1:10" x14ac:dyDescent="0.25">
      <c r="A11" s="6" t="s">
        <v>11</v>
      </c>
      <c r="B11" s="4">
        <f>SUM(B6:B10)</f>
        <v>2.9166666666666665</v>
      </c>
      <c r="C11" s="4">
        <f>SUM(C6:C10)</f>
        <v>8.5003000300030003</v>
      </c>
      <c r="D11" s="4">
        <f>SUM(D6:D10)</f>
        <v>13</v>
      </c>
      <c r="E11" s="4">
        <f>SUM(E6:E10)</f>
        <v>8.5003000300030003</v>
      </c>
      <c r="F11" s="4">
        <f>SUM(F6:F10)</f>
        <v>2.9165999999999999</v>
      </c>
    </row>
    <row r="13" spans="1:10" ht="15.75" x14ac:dyDescent="0.25">
      <c r="A13" s="13" t="s">
        <v>12</v>
      </c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B14" s="1" t="s">
        <v>3</v>
      </c>
      <c r="C14" s="1" t="s">
        <v>4</v>
      </c>
      <c r="D14" s="1" t="s">
        <v>5</v>
      </c>
      <c r="E14" s="1" t="s">
        <v>6</v>
      </c>
      <c r="F14" s="1" t="s">
        <v>7</v>
      </c>
    </row>
    <row r="15" spans="1:10" x14ac:dyDescent="0.25">
      <c r="A15" s="1" t="s">
        <v>3</v>
      </c>
      <c r="B15" s="5">
        <f>IF(B11=0,"",B6/B11)</f>
        <v>0.34285714285714286</v>
      </c>
      <c r="C15" s="5">
        <f>IF(C11=0,"",C6/C11)</f>
        <v>0.35292871891710642</v>
      </c>
      <c r="D15" s="5">
        <f>IF(D11=0,"",D6/D11)</f>
        <v>0.30769230769230771</v>
      </c>
      <c r="E15" s="5">
        <f>IF(E11=0,"",E6/E11)</f>
        <v>0.35292871891710642</v>
      </c>
      <c r="F15" s="5">
        <f>IF(F11=0,"",F6/F11)</f>
        <v>0.34286497977096619</v>
      </c>
    </row>
    <row r="16" spans="1:10" x14ac:dyDescent="0.25">
      <c r="A16" s="1" t="s">
        <v>4</v>
      </c>
      <c r="B16" s="5">
        <f>IF(B11=0,"",B7/B11)</f>
        <v>0.11428571428571428</v>
      </c>
      <c r="C16" s="5">
        <f>IF(C11=0,"",C7/C11)</f>
        <v>0.11764290630570214</v>
      </c>
      <c r="D16" s="5">
        <f>IF(D11=0,"",D7/D11)</f>
        <v>0.15384615384615385</v>
      </c>
      <c r="E16" s="5">
        <f>IF(E11=0,"",E7/E11)</f>
        <v>0.11764290630570214</v>
      </c>
      <c r="F16" s="5">
        <f>IF(F11=0,"",F7/F11)</f>
        <v>0.11427689775766303</v>
      </c>
    </row>
    <row r="17" spans="1:10" x14ac:dyDescent="0.25">
      <c r="A17" s="1" t="s">
        <v>5</v>
      </c>
      <c r="B17" s="5">
        <f>IF(B11=0,"",B8/B11)</f>
        <v>8.5714285714285715E-2</v>
      </c>
      <c r="C17" s="5">
        <f>IF(C11=0,"",C8/C11)</f>
        <v>5.8821453152851068E-2</v>
      </c>
      <c r="D17" s="5">
        <f>IF(D11=0,"",D8/D11)</f>
        <v>7.6923076923076927E-2</v>
      </c>
      <c r="E17" s="5">
        <f>IF(E11=0,"",E8/E11)</f>
        <v>5.8821453152851068E-2</v>
      </c>
      <c r="F17" s="5">
        <f>IF(F11=0,"",F8/F11)</f>
        <v>8.5716244942741548E-2</v>
      </c>
    </row>
    <row r="18" spans="1:10" x14ac:dyDescent="0.25">
      <c r="A18" s="1" t="s">
        <v>6</v>
      </c>
      <c r="B18" s="5">
        <f>IF(B11=0,"",B9/B11)</f>
        <v>0.11428571428571428</v>
      </c>
      <c r="C18" s="5">
        <f>IF(C11=0,"",C9/C11)</f>
        <v>0.11764290630570214</v>
      </c>
      <c r="D18" s="5">
        <f>IF(D11=0,"",D9/D11)</f>
        <v>0.15384615384615385</v>
      </c>
      <c r="E18" s="5">
        <f>IF(E11=0,"",E9/E11)</f>
        <v>0.11764290630570214</v>
      </c>
      <c r="F18" s="5">
        <f>IF(F11=0,"",F9/F11)</f>
        <v>0.11427689775766303</v>
      </c>
    </row>
    <row r="19" spans="1:10" x14ac:dyDescent="0.25">
      <c r="A19" s="1" t="s">
        <v>7</v>
      </c>
      <c r="B19" s="5">
        <f>IF(B11=0,"",B10/B11)</f>
        <v>0.34285714285714286</v>
      </c>
      <c r="C19" s="5">
        <f>IF(C11=0,"",C10/C11)</f>
        <v>0.35296401531863825</v>
      </c>
      <c r="D19" s="5">
        <f>IF(D11=0,"",D10/D11)</f>
        <v>0.30769230769230771</v>
      </c>
      <c r="E19" s="5">
        <f>IF(E11=0,"",E10/E11)</f>
        <v>0.35296401531863825</v>
      </c>
      <c r="F19" s="5">
        <f>IF(F11=0,"",F10/F11)</f>
        <v>0.34286497977096619</v>
      </c>
    </row>
    <row r="21" spans="1:10" ht="15.75" x14ac:dyDescent="0.25">
      <c r="A21" s="13" t="s">
        <v>13</v>
      </c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5">
      <c r="A22" s="7" t="s">
        <v>14</v>
      </c>
      <c r="B22" s="8">
        <f>AVERAGE(J6:J10)</f>
        <v>5.0264757196932788</v>
      </c>
    </row>
    <row r="23" spans="1:10" x14ac:dyDescent="0.25">
      <c r="A23" s="7" t="s">
        <v>15</v>
      </c>
      <c r="B23" s="8">
        <f>(B22-5)/4</f>
        <v>6.6189299233196941E-3</v>
      </c>
    </row>
    <row r="24" spans="1:10" x14ac:dyDescent="0.25">
      <c r="A24" s="7" t="s">
        <v>16</v>
      </c>
      <c r="B24" s="9">
        <v>1.1200000000000001</v>
      </c>
    </row>
    <row r="25" spans="1:10" x14ac:dyDescent="0.25">
      <c r="A25" s="7" t="s">
        <v>17</v>
      </c>
      <c r="B25" s="8">
        <f>IF(B24=0,"",B23/B24)</f>
        <v>5.9097588601068687E-3</v>
      </c>
    </row>
    <row r="27" spans="1:10" x14ac:dyDescent="0.25">
      <c r="A27" s="12" t="s">
        <v>18</v>
      </c>
      <c r="B27" s="11"/>
      <c r="C27" s="11"/>
      <c r="D27" s="11"/>
      <c r="E27" s="11"/>
      <c r="F27" s="11"/>
      <c r="G27" s="11"/>
      <c r="H27" s="11"/>
      <c r="I27" s="11"/>
      <c r="J27" s="11"/>
    </row>
    <row r="29" spans="1:10" x14ac:dyDescent="0.25">
      <c r="A29" s="12"/>
      <c r="B29" s="11"/>
      <c r="C29" s="11"/>
      <c r="D29" s="11"/>
      <c r="E29" s="11"/>
      <c r="F29" s="11"/>
      <c r="G29" s="11"/>
      <c r="H29" s="11"/>
      <c r="I29" s="11"/>
      <c r="J29" s="11"/>
    </row>
  </sheetData>
  <mergeCells count="7">
    <mergeCell ref="A1:J1"/>
    <mergeCell ref="A27:J27"/>
    <mergeCell ref="A21:J21"/>
    <mergeCell ref="A29:J29"/>
    <mergeCell ref="A4:J4"/>
    <mergeCell ref="A2:J2"/>
    <mergeCell ref="A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Florian Petke</cp:lastModifiedBy>
  <dcterms:modified xsi:type="dcterms:W3CDTF">2026-01-18T12:03:12Z</dcterms:modified>
</cp:coreProperties>
</file>